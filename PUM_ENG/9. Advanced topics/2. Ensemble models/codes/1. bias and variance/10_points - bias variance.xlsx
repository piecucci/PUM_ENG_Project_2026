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theme/theme1.xml" ContentType="application/vnd.openxmlformats-officedocument.them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decki/Mój dysk/2. Areas/1. Szkolenia/4. PJATK/PJATK - Podstawy Uczenia Maszynowego - aw/1. PUM - Podstawy Uczenia Maszynowego/! Wykłady PUM/! mini-projekty i datasety/6. bias and variance/"/>
    </mc:Choice>
  </mc:AlternateContent>
  <xr:revisionPtr revIDLastSave="0" documentId="13_ncr:1_{4006D3A5-415A-574F-AE10-91C07C359090}" xr6:coauthVersionLast="47" xr6:coauthVersionMax="47" xr10:uidLastSave="{00000000-0000-0000-0000-000000000000}"/>
  <bookViews>
    <workbookView xWindow="3900" yWindow="2240" windowWidth="28040" windowHeight="17360" xr2:uid="{B9CE7B90-8373-E746-B546-5872E21CF0E1}"/>
  </bookViews>
  <sheets>
    <sheet name="data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3" i="1"/>
  <c r="M4" i="1"/>
  <c r="M5" i="1"/>
  <c r="M6" i="1"/>
  <c r="M7" i="1"/>
  <c r="M8" i="1"/>
  <c r="M9" i="1"/>
  <c r="M10" i="1"/>
  <c r="M11" i="1"/>
  <c r="M2" i="1"/>
  <c r="L14" i="1"/>
  <c r="L3" i="1"/>
  <c r="L4" i="1"/>
  <c r="L5" i="1"/>
  <c r="L6" i="1"/>
  <c r="L7" i="1"/>
  <c r="L8" i="1"/>
  <c r="L9" i="1"/>
  <c r="L10" i="1"/>
  <c r="L11" i="1"/>
  <c r="L2" i="1"/>
  <c r="K14" i="1"/>
  <c r="K3" i="1"/>
  <c r="K4" i="1"/>
  <c r="K5" i="1"/>
  <c r="K6" i="1"/>
  <c r="K7" i="1"/>
  <c r="K8" i="1"/>
  <c r="K9" i="1"/>
  <c r="K10" i="1"/>
  <c r="K11" i="1"/>
  <c r="K2" i="1"/>
  <c r="J14" i="1"/>
  <c r="J3" i="1"/>
  <c r="J4" i="1"/>
  <c r="J5" i="1"/>
  <c r="J6" i="1"/>
  <c r="J7" i="1"/>
  <c r="J8" i="1"/>
  <c r="J9" i="1"/>
  <c r="J10" i="1"/>
  <c r="J11" i="1"/>
  <c r="J2" i="1"/>
  <c r="I14" i="1"/>
  <c r="I3" i="1"/>
  <c r="I4" i="1"/>
  <c r="I5" i="1"/>
  <c r="I6" i="1"/>
  <c r="I7" i="1"/>
  <c r="I8" i="1"/>
  <c r="I9" i="1"/>
  <c r="I10" i="1"/>
  <c r="I11" i="1"/>
  <c r="I2" i="1"/>
  <c r="H14" i="1"/>
  <c r="H3" i="1"/>
  <c r="H4" i="1"/>
  <c r="H5" i="1"/>
  <c r="H6" i="1"/>
  <c r="H7" i="1"/>
  <c r="H8" i="1"/>
  <c r="H9" i="1"/>
  <c r="H10" i="1"/>
  <c r="H11" i="1"/>
  <c r="H2" i="1"/>
  <c r="D14" i="1"/>
  <c r="E14" i="1"/>
  <c r="C14" i="1"/>
  <c r="G14" i="1"/>
  <c r="G3" i="1"/>
  <c r="G4" i="1"/>
  <c r="G5" i="1"/>
  <c r="G6" i="1"/>
  <c r="G7" i="1"/>
  <c r="G8" i="1"/>
  <c r="G9" i="1"/>
  <c r="G10" i="1"/>
  <c r="G11" i="1"/>
  <c r="G2" i="1"/>
  <c r="D3" i="1"/>
  <c r="D4" i="1"/>
  <c r="D5" i="1"/>
  <c r="D6" i="1"/>
  <c r="D7" i="1"/>
  <c r="D8" i="1"/>
  <c r="D9" i="1"/>
  <c r="D10" i="1"/>
  <c r="D11" i="1"/>
  <c r="D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2" i="1"/>
  <c r="E2" i="1" s="1"/>
</calcChain>
</file>

<file path=xl/sharedStrings.xml><?xml version="1.0" encoding="utf-8"?>
<sst xmlns="http://schemas.openxmlformats.org/spreadsheetml/2006/main" count="14" uniqueCount="14">
  <si>
    <t>x</t>
  </si>
  <si>
    <t>y</t>
  </si>
  <si>
    <t>m_1</t>
  </si>
  <si>
    <t>m_2</t>
  </si>
  <si>
    <t>m_3</t>
  </si>
  <si>
    <t>wariancja</t>
  </si>
  <si>
    <t>bias</t>
  </si>
  <si>
    <t>wariancja m_1</t>
  </si>
  <si>
    <t>bias m_1</t>
  </si>
  <si>
    <t>m1-y</t>
  </si>
  <si>
    <t>bias m_2</t>
  </si>
  <si>
    <t>m2-y</t>
  </si>
  <si>
    <t>bias m_3</t>
  </si>
  <si>
    <t>m3-y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</si>
</sst>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Różne modele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Regresja liniowa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data!$C$2:$C$11</c:f>
              <c:numCache>
                <c:formatCode>General</c:formatCode>
                <c:ptCount val="10"/>
                <c:pt idx="0">
                  <c:v>2.7819000000000003</c:v>
                </c:pt>
                <c:pt idx="1">
                  <c:v>4.6970999999999998</c:v>
                </c:pt>
                <c:pt idx="2">
                  <c:v>6.6122999999999994</c:v>
                </c:pt>
                <c:pt idx="3">
                  <c:v>8.5274999999999999</c:v>
                </c:pt>
                <c:pt idx="4">
                  <c:v>10.4427</c:v>
                </c:pt>
                <c:pt idx="5">
                  <c:v>12.357899999999999</c:v>
                </c:pt>
                <c:pt idx="6">
                  <c:v>14.273099999999999</c:v>
                </c:pt>
                <c:pt idx="7">
                  <c:v>16.188300000000002</c:v>
                </c:pt>
                <c:pt idx="8">
                  <c:v>18.1035</c:v>
                </c:pt>
                <c:pt idx="9">
                  <c:v>20.018700000000003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6-EC42-9FB8-8C6F39555B93}"/>
            </c:ext>
          </c:extLst>
        </c:ser>
        <c:ser>
          <c:idx val="1"/>
          <c:order val="1"/>
          <c:tx>
            <c:v>Model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data!$D$2:$D$11</c:f>
              <c:numCache>
                <c:formatCode>General</c:formatCode>
                <c:ptCount val="10"/>
                <c:pt idx="0">
                  <c:v>3.3151999999999999</c:v>
                </c:pt>
                <c:pt idx="1">
                  <c:v>6.2304000000000004</c:v>
                </c:pt>
                <c:pt idx="2">
                  <c:v>9.1456</c:v>
                </c:pt>
                <c:pt idx="3">
                  <c:v>12.0608</c:v>
                </c:pt>
                <c:pt idx="4">
                  <c:v>14.976000000000001</c:v>
                </c:pt>
                <c:pt idx="5">
                  <c:v>17.891199999999998</c:v>
                </c:pt>
                <c:pt idx="6">
                  <c:v>20.8064</c:v>
                </c:pt>
                <c:pt idx="7">
                  <c:v>23.721599999999999</c:v>
                </c:pt>
                <c:pt idx="8">
                  <c:v>26.636799999999997</c:v>
                </c:pt>
                <c:pt idx="9">
                  <c:v>29.552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69-BA40-AAF3-C4BF99404D2C}"/>
            </c:ext>
          </c:extLst>
        </c:ser>
        <c:ser>
          <c:idx val="2"/>
          <c:order val="2"/>
          <c:tx>
            <c:v>Model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data!$E$2:$E$11</c:f>
              <c:numCache>
                <c:formatCode>General</c:formatCode>
                <c:ptCount val="10"/>
                <c:pt idx="0">
                  <c:v>7.7819000000000003</c:v>
                </c:pt>
                <c:pt idx="1">
                  <c:v>9.6970999999999989</c:v>
                </c:pt>
                <c:pt idx="2">
                  <c:v>11.612299999999999</c:v>
                </c:pt>
                <c:pt idx="3">
                  <c:v>13.5275</c:v>
                </c:pt>
                <c:pt idx="4">
                  <c:v>15.4427</c:v>
                </c:pt>
                <c:pt idx="5">
                  <c:v>17.357900000000001</c:v>
                </c:pt>
                <c:pt idx="6">
                  <c:v>19.273099999999999</c:v>
                </c:pt>
                <c:pt idx="7">
                  <c:v>21.188300000000002</c:v>
                </c:pt>
                <c:pt idx="8">
                  <c:v>23.1035</c:v>
                </c:pt>
                <c:pt idx="9">
                  <c:v>25.018700000000003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69-BA40-AAF3-C4BF99404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986959"/>
        <c:axId val="434026047"/>
      </c:scatterChart>
      <c:valAx>
        <c:axId val="43398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4026047"/>
        <c:crosses val="autoZero"/>
        <c:crossBetween val="midCat"/>
      </c:valAx>
      <c:valAx>
        <c:axId val="4340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398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120650</xdr:colOff>
      <xdr:row>0</xdr:row>
      <xdr:rowOff>88900</xdr:rowOff>
    </xdr:from>
    <xdr:to>
      <xdr:col>19</xdr:col>
      <xdr:colOff>565150</xdr:colOff>
      <xdr:row>13</xdr:row>
      <xdr:rowOff>190500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2937551-9736-4E48-BB48-E3473DF2E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91D7-0AD0-B244-99A4-76F45E7BB959}">
  <dimension ref="A1:M15"/>
  <sheetViews>
    <sheetView tabSelected="1" workbookViewId="0">
      <selection activeCell="E17" sqref="E17"/>
    </sheetView>
  </sheetViews>
  <sheetFormatPr baseColWidth="10" defaultRowHeight="16" x14ac:dyDescent="0.2"/>
  <cols>
    <col min="4" max="4" width="8.6640625" bestFit="1" customWidth="1"/>
    <col min="5" max="5" width="13" bestFit="1" customWidth="1"/>
    <col min="7" max="7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8</v>
      </c>
      <c r="I1" s="1" t="s">
        <v>9</v>
      </c>
      <c r="J1" t="s">
        <v>10</v>
      </c>
      <c r="K1" s="1" t="s">
        <v>11</v>
      </c>
      <c r="L1" t="s">
        <v>12</v>
      </c>
      <c r="M1" s="1" t="s">
        <v>13</v>
      </c>
    </row>
    <row r="2" spans="1:13" x14ac:dyDescent="0.2">
      <c r="A2">
        <v>1</v>
      </c>
      <c r="B2">
        <v>3</v>
      </c>
      <c r="C2">
        <f>1.9152*A2+0.8667</f>
        <v>2.7819000000000003</v>
      </c>
      <c r="D2">
        <f>2.9152*A2+0.4</f>
        <v>3.3151999999999999</v>
      </c>
      <c r="E2">
        <f>C2+5</f>
        <v>7.7819000000000003</v>
      </c>
      <c r="G2">
        <f>(C2-AVERAGE($C$2:$C$11))^2</f>
        <v>74.276818560000024</v>
      </c>
      <c r="H2">
        <f>AVERAGE($C$2:$C$11)-B2</f>
        <v>8.4003000000000014</v>
      </c>
      <c r="I2" s="1">
        <f>C2-B2</f>
        <v>-0.21809999999999974</v>
      </c>
      <c r="J2">
        <f>AVERAGE($D$2:$D$11)-B2</f>
        <v>13.433599999999998</v>
      </c>
      <c r="K2" s="1">
        <f>D2-B2</f>
        <v>0.31519999999999992</v>
      </c>
      <c r="L2">
        <f>AVERAGE($E$2:$E$11)-B2</f>
        <v>13.400299999999998</v>
      </c>
      <c r="M2" s="1">
        <f>E2-B2</f>
        <v>4.7819000000000003</v>
      </c>
    </row>
    <row r="3" spans="1:13" x14ac:dyDescent="0.2">
      <c r="A3">
        <v>2</v>
      </c>
      <c r="B3">
        <v>6</v>
      </c>
      <c r="C3">
        <f t="shared" ref="C3:C11" si="0">1.9152*A3+0.8667</f>
        <v>4.6970999999999998</v>
      </c>
      <c r="D3">
        <f>2.9152*A3+0.4</f>
        <v>6.2304000000000004</v>
      </c>
      <c r="E3">
        <f>C3+5</f>
        <v>9.6970999999999989</v>
      </c>
      <c r="G3">
        <f t="shared" ref="G3:G11" si="1">(C3-AVERAGE($C$2:$C$11))^2</f>
        <v>44.93289024000002</v>
      </c>
      <c r="H3">
        <f t="shared" ref="H3:H11" si="2">AVERAGE($C$2:$C$11)-B3</f>
        <v>5.4003000000000014</v>
      </c>
      <c r="I3" s="1">
        <f t="shared" ref="I3:I11" si="3">C3-B3</f>
        <v>-1.3029000000000002</v>
      </c>
      <c r="J3">
        <f t="shared" ref="J3:J11" si="4">AVERAGE($D$2:$D$11)-B3</f>
        <v>10.433599999999998</v>
      </c>
      <c r="K3" s="1">
        <f t="shared" ref="K3:K11" si="5">D3-B3</f>
        <v>0.23040000000000038</v>
      </c>
      <c r="L3">
        <f t="shared" ref="L3:L11" si="6">AVERAGE($E$2:$E$11)-B3</f>
        <v>10.400299999999998</v>
      </c>
      <c r="M3" s="1">
        <f t="shared" ref="M3:M11" si="7">E3-B3</f>
        <v>3.6970999999999989</v>
      </c>
    </row>
    <row r="4" spans="1:13" x14ac:dyDescent="0.2">
      <c r="A4">
        <v>3</v>
      </c>
      <c r="B4">
        <v>8</v>
      </c>
      <c r="C4">
        <f t="shared" si="0"/>
        <v>6.6122999999999994</v>
      </c>
      <c r="D4">
        <f>2.9152*A4+0.4</f>
        <v>9.1456</v>
      </c>
      <c r="E4">
        <f>C4+5</f>
        <v>11.612299999999999</v>
      </c>
      <c r="G4">
        <f t="shared" si="1"/>
        <v>22.924944000000018</v>
      </c>
      <c r="H4">
        <f t="shared" si="2"/>
        <v>3.4003000000000014</v>
      </c>
      <c r="I4" s="1">
        <f t="shared" si="3"/>
        <v>-1.3877000000000006</v>
      </c>
      <c r="J4">
        <f t="shared" si="4"/>
        <v>8.4335999999999984</v>
      </c>
      <c r="K4" s="1">
        <f t="shared" si="5"/>
        <v>1.1456</v>
      </c>
      <c r="L4">
        <f t="shared" si="6"/>
        <v>8.4002999999999979</v>
      </c>
      <c r="M4" s="1">
        <f t="shared" si="7"/>
        <v>3.6122999999999994</v>
      </c>
    </row>
    <row r="5" spans="1:13" x14ac:dyDescent="0.2">
      <c r="A5">
        <v>4</v>
      </c>
      <c r="B5">
        <v>6</v>
      </c>
      <c r="C5">
        <f t="shared" si="0"/>
        <v>8.5274999999999999</v>
      </c>
      <c r="D5">
        <f>2.9152*A5+0.4</f>
        <v>12.0608</v>
      </c>
      <c r="E5">
        <f>C5+5</f>
        <v>13.5275</v>
      </c>
      <c r="G5">
        <f t="shared" si="1"/>
        <v>8.2529798400000089</v>
      </c>
      <c r="H5">
        <f t="shared" si="2"/>
        <v>5.4003000000000014</v>
      </c>
      <c r="I5" s="1">
        <f t="shared" si="3"/>
        <v>2.5274999999999999</v>
      </c>
      <c r="J5">
        <f t="shared" si="4"/>
        <v>10.433599999999998</v>
      </c>
      <c r="K5" s="1">
        <f t="shared" si="5"/>
        <v>6.0608000000000004</v>
      </c>
      <c r="L5">
        <f t="shared" si="6"/>
        <v>10.400299999999998</v>
      </c>
      <c r="M5" s="1">
        <f t="shared" si="7"/>
        <v>7.5274999999999999</v>
      </c>
    </row>
    <row r="6" spans="1:13" x14ac:dyDescent="0.2">
      <c r="A6">
        <v>5</v>
      </c>
      <c r="B6">
        <v>9</v>
      </c>
      <c r="C6">
        <f t="shared" si="0"/>
        <v>10.4427</v>
      </c>
      <c r="D6">
        <f>2.9152*A6+0.4</f>
        <v>14.976000000000001</v>
      </c>
      <c r="E6">
        <f>C6+5</f>
        <v>15.4427</v>
      </c>
      <c r="G6">
        <f t="shared" si="1"/>
        <v>0.9169977600000021</v>
      </c>
      <c r="H6">
        <f t="shared" si="2"/>
        <v>2.4003000000000014</v>
      </c>
      <c r="I6" s="1">
        <f t="shared" si="3"/>
        <v>1.4427000000000003</v>
      </c>
      <c r="J6">
        <f t="shared" si="4"/>
        <v>7.4335999999999984</v>
      </c>
      <c r="K6" s="1">
        <f t="shared" si="5"/>
        <v>5.9760000000000009</v>
      </c>
      <c r="L6">
        <f t="shared" si="6"/>
        <v>7.4002999999999979</v>
      </c>
      <c r="M6" s="1">
        <f t="shared" si="7"/>
        <v>6.4427000000000003</v>
      </c>
    </row>
    <row r="7" spans="1:13" x14ac:dyDescent="0.2">
      <c r="A7">
        <v>6</v>
      </c>
      <c r="B7">
        <v>12</v>
      </c>
      <c r="C7">
        <f t="shared" si="0"/>
        <v>12.357899999999999</v>
      </c>
      <c r="D7">
        <f>2.9152*A7+0.4</f>
        <v>17.891199999999998</v>
      </c>
      <c r="E7">
        <f>C7+5</f>
        <v>17.357900000000001</v>
      </c>
      <c r="G7">
        <f t="shared" si="1"/>
        <v>0.91699775999999533</v>
      </c>
      <c r="H7">
        <f t="shared" si="2"/>
        <v>-0.59969999999999857</v>
      </c>
      <c r="I7" s="1">
        <f t="shared" si="3"/>
        <v>0.357899999999999</v>
      </c>
      <c r="J7">
        <f t="shared" si="4"/>
        <v>4.4335999999999984</v>
      </c>
      <c r="K7" s="1">
        <f t="shared" si="5"/>
        <v>5.8911999999999978</v>
      </c>
      <c r="L7">
        <f t="shared" si="6"/>
        <v>4.4002999999999979</v>
      </c>
      <c r="M7" s="1">
        <f t="shared" si="7"/>
        <v>5.3579000000000008</v>
      </c>
    </row>
    <row r="8" spans="1:13" x14ac:dyDescent="0.2">
      <c r="A8">
        <v>7</v>
      </c>
      <c r="B8">
        <v>15</v>
      </c>
      <c r="C8">
        <f t="shared" si="0"/>
        <v>14.273099999999999</v>
      </c>
      <c r="D8">
        <f>2.9152*A8+0.4</f>
        <v>20.8064</v>
      </c>
      <c r="E8">
        <f>C8+5</f>
        <v>19.273099999999999</v>
      </c>
      <c r="G8">
        <f t="shared" si="1"/>
        <v>8.2529798399999894</v>
      </c>
      <c r="H8">
        <f t="shared" si="2"/>
        <v>-3.5996999999999986</v>
      </c>
      <c r="I8" s="1">
        <f t="shared" si="3"/>
        <v>-0.72690000000000055</v>
      </c>
      <c r="J8">
        <f t="shared" si="4"/>
        <v>1.4335999999999984</v>
      </c>
      <c r="K8" s="1">
        <f t="shared" si="5"/>
        <v>5.8064</v>
      </c>
      <c r="L8">
        <f t="shared" si="6"/>
        <v>1.4002999999999979</v>
      </c>
      <c r="M8" s="1">
        <f t="shared" si="7"/>
        <v>4.2730999999999995</v>
      </c>
    </row>
    <row r="9" spans="1:13" x14ac:dyDescent="0.2">
      <c r="A9">
        <v>8</v>
      </c>
      <c r="B9">
        <v>16</v>
      </c>
      <c r="C9">
        <f t="shared" si="0"/>
        <v>16.188300000000002</v>
      </c>
      <c r="D9">
        <f>2.9152*A9+0.4</f>
        <v>23.721599999999999</v>
      </c>
      <c r="E9">
        <f>C9+5</f>
        <v>21.188300000000002</v>
      </c>
      <c r="G9">
        <f t="shared" si="1"/>
        <v>22.924944000000004</v>
      </c>
      <c r="H9">
        <f t="shared" si="2"/>
        <v>-4.5996999999999986</v>
      </c>
      <c r="I9" s="1">
        <f t="shared" si="3"/>
        <v>0.18830000000000169</v>
      </c>
      <c r="J9">
        <f t="shared" si="4"/>
        <v>0.43359999999999843</v>
      </c>
      <c r="K9" s="1">
        <f t="shared" si="5"/>
        <v>7.7215999999999987</v>
      </c>
      <c r="L9">
        <f t="shared" si="6"/>
        <v>0.40029999999999788</v>
      </c>
      <c r="M9" s="1">
        <f t="shared" si="7"/>
        <v>5.1883000000000017</v>
      </c>
    </row>
    <row r="10" spans="1:13" x14ac:dyDescent="0.2">
      <c r="A10">
        <v>9</v>
      </c>
      <c r="B10">
        <v>18</v>
      </c>
      <c r="C10">
        <f t="shared" si="0"/>
        <v>18.1035</v>
      </c>
      <c r="D10">
        <f>2.9152*A10+0.4</f>
        <v>26.636799999999997</v>
      </c>
      <c r="E10">
        <f>C10+5</f>
        <v>23.1035</v>
      </c>
      <c r="G10">
        <f t="shared" si="1"/>
        <v>44.932890239999985</v>
      </c>
      <c r="H10">
        <f t="shared" si="2"/>
        <v>-6.5996999999999986</v>
      </c>
      <c r="I10" s="1">
        <f t="shared" si="3"/>
        <v>0.10350000000000037</v>
      </c>
      <c r="J10">
        <f t="shared" si="4"/>
        <v>-1.5664000000000016</v>
      </c>
      <c r="K10" s="1">
        <f t="shared" si="5"/>
        <v>8.6367999999999974</v>
      </c>
      <c r="L10">
        <f t="shared" si="6"/>
        <v>-1.5997000000000021</v>
      </c>
      <c r="M10" s="1">
        <f t="shared" si="7"/>
        <v>5.1035000000000004</v>
      </c>
    </row>
    <row r="11" spans="1:13" x14ac:dyDescent="0.2">
      <c r="A11">
        <v>10</v>
      </c>
      <c r="B11">
        <v>21</v>
      </c>
      <c r="C11">
        <f t="shared" si="0"/>
        <v>20.018700000000003</v>
      </c>
      <c r="D11">
        <f>2.9152*A11+0.4</f>
        <v>29.552</v>
      </c>
      <c r="E11">
        <f>C11+5</f>
        <v>25.018700000000003</v>
      </c>
      <c r="G11">
        <f t="shared" si="1"/>
        <v>74.276818560000024</v>
      </c>
      <c r="H11">
        <f t="shared" si="2"/>
        <v>-9.5996999999999986</v>
      </c>
      <c r="I11" s="1">
        <f t="shared" si="3"/>
        <v>-0.9812999999999974</v>
      </c>
      <c r="J11">
        <f t="shared" si="4"/>
        <v>-4.5664000000000016</v>
      </c>
      <c r="K11" s="1">
        <f t="shared" si="5"/>
        <v>8.5519999999999996</v>
      </c>
      <c r="L11">
        <f t="shared" si="6"/>
        <v>-4.5997000000000021</v>
      </c>
      <c r="M11" s="1">
        <f t="shared" si="7"/>
        <v>4.0187000000000026</v>
      </c>
    </row>
    <row r="12" spans="1:13" x14ac:dyDescent="0.2">
      <c r="I12" s="1"/>
      <c r="K12" s="1"/>
      <c r="M12" s="1"/>
    </row>
    <row r="13" spans="1:13" x14ac:dyDescent="0.2">
      <c r="I13" s="1"/>
      <c r="K13" s="1"/>
      <c r="M13" s="1"/>
    </row>
    <row r="14" spans="1:13" x14ac:dyDescent="0.2">
      <c r="A14" s="1" t="s">
        <v>5</v>
      </c>
      <c r="B14" s="1"/>
      <c r="C14" s="1">
        <f>VARPA(C2:C11)</f>
        <v>30.260926079999972</v>
      </c>
      <c r="D14" s="1">
        <f t="shared" ref="D14:E14" si="8">VARPA(D2:D11)</f>
        <v>70.111726080000039</v>
      </c>
      <c r="E14" s="1">
        <f t="shared" si="8"/>
        <v>30.2609260800001</v>
      </c>
      <c r="G14">
        <f>AVERAGE(G2:G11)</f>
        <v>30.260926080000008</v>
      </c>
      <c r="H14">
        <f>SUM(H2:H11)</f>
        <v>3.0000000000143245E-3</v>
      </c>
      <c r="I14" s="1">
        <f>AVERAGE(I2:I11)</f>
        <v>3.000000000002778E-4</v>
      </c>
      <c r="J14">
        <f>SUM(J2:J11)</f>
        <v>50.335999999999984</v>
      </c>
      <c r="K14" s="1">
        <f>AVERAGE(K2:K11)</f>
        <v>5.033599999999999</v>
      </c>
      <c r="L14">
        <f>SUM(L2:L11)</f>
        <v>50.003</v>
      </c>
      <c r="M14" s="1">
        <f>AVERAGE(M2:M11)</f>
        <v>5.0003000000000011</v>
      </c>
    </row>
    <row r="15" spans="1:13" x14ac:dyDescent="0.2">
      <c r="A15" t="s">
        <v>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ED94-E0D1-D94A-86BD-4C6346F4C9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DEA328819FF4D9B53C571BBDB1230" ma:contentTypeVersion="8" ma:contentTypeDescription="Create a new document." ma:contentTypeScope="" ma:versionID="9ee78d553a9e249a79d2aae5ae81172e">
  <xsd:schema xmlns:xsd="http://www.w3.org/2001/XMLSchema" xmlns:xs="http://www.w3.org/2001/XMLSchema" xmlns:p="http://schemas.microsoft.com/office/2006/metadata/properties" xmlns:ns2="5fd66cd7-1874-4d54-85a7-3036e0412629" xmlns:ns3="ee8b8552-a5fc-4de3-98ea-862052f69e7f" targetNamespace="http://schemas.microsoft.com/office/2006/metadata/properties" ma:root="true" ma:fieldsID="13e01737e87e708bb07ceb98ed4ce7a5" ns2:_="" ns3:_="">
    <xsd:import namespace="5fd66cd7-1874-4d54-85a7-3036e0412629"/>
    <xsd:import namespace="ee8b8552-a5fc-4de3-98ea-862052f69e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66cd7-1874-4d54-85a7-3036e04126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b8552-a5fc-4de3-98ea-862052f69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fd66cd7-1874-4d54-85a7-3036e0412629">DMC5KAUUDN7D-357648607-480</_dlc_DocId>
    <_dlc_DocIdUrl xmlns="5fd66cd7-1874-4d54-85a7-3036e0412629">
      <Url>https://pejot.sharepoint.com/sites/internetowe-materialy/_layouts/15/DocIdRedir.aspx?ID=DMC5KAUUDN7D-357648607-480</Url>
      <Description>DMC5KAUUDN7D-357648607-480</Description>
    </_dlc_DocIdUrl>
  </documentManagement>
</p:properties>
</file>

<file path=customXml/itemProps1.xml><?xml version="1.0" encoding="utf-8"?>
<ds:datastoreItem xmlns:ds="http://schemas.openxmlformats.org/officeDocument/2006/customXml" ds:itemID="{066E049B-80B9-4884-9DA1-E2BA477B3C31}"/>
</file>

<file path=customXml/itemProps2.xml><?xml version="1.0" encoding="utf-8"?>
<ds:datastoreItem xmlns:ds="http://schemas.openxmlformats.org/officeDocument/2006/customXml" ds:itemID="{D5E7F027-E474-43D1-87AB-06AE2613F603}"/>
</file>

<file path=customXml/itemProps3.xml><?xml version="1.0" encoding="utf-8"?>
<ds:datastoreItem xmlns:ds="http://schemas.openxmlformats.org/officeDocument/2006/customXml" ds:itemID="{F9244FBE-3343-4D7E-B9BB-3CC67D474301}"/>
</file>

<file path=customXml/itemProps4.xml><?xml version="1.0" encoding="utf-8"?>
<ds:datastoreItem xmlns:ds="http://schemas.openxmlformats.org/officeDocument/2006/customXml" ds:itemID="{B76EFBBC-902E-4E71-A5A3-61F759905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data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Wodecki (AWO)</dc:creator>
  <cp:lastModifiedBy>Andrzej Wodecki (AWO)</cp:lastModifiedBy>
  <dcterms:created xsi:type="dcterms:W3CDTF">2021-10-14T06:42:55Z</dcterms:created>
  <dcterms:modified xsi:type="dcterms:W3CDTF">2021-12-14T16:05:21Z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0x0101000B7DEA328819FF4D9B53C571BBDB1230</vt:lpwstr>
  </property>
  <property fmtid="{D5CDD505-2E9C-101B-9397-08002B2CF9AE}" pid="3" name="_dlc_DocIdItemGuid">
    <vt:lpwstr>e524b820-e334-48cc-8f67-8768558fb97f</vt:lpwstr>
  </property>
</Properties>
</file>